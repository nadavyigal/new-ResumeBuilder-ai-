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OneDrive\מסמכים\AI\cursor\cursor playground\ResumeBuilder AI\"/>
    </mc:Choice>
  </mc:AlternateContent>
  <xr:revisionPtr revIDLastSave="0" documentId="8_{3908A322-DC6E-4475-A2ED-DCA3BFA9334C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Instructions" sheetId="1" r:id="rId1"/>
    <sheet name="Scenarios" sheetId="2" r:id="rId2"/>
    <sheet name="Inputs" sheetId="3" r:id="rId3"/>
    <sheet name="Monthly Forecast" sheetId="4" r:id="rId4"/>
    <sheet name="Unit Economics" sheetId="5" r:id="rId5"/>
    <sheet name="Sensitivity" sheetId="6" r:id="rId6"/>
    <sheet name="Recommend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4" l="1"/>
  <c r="O14" i="4"/>
  <c r="N14" i="4"/>
  <c r="M14" i="4"/>
  <c r="P13" i="4"/>
  <c r="O13" i="4"/>
  <c r="N13" i="4"/>
  <c r="M13" i="4"/>
  <c r="P12" i="4"/>
  <c r="O12" i="4"/>
  <c r="N12" i="4"/>
  <c r="M12" i="4"/>
  <c r="P11" i="4"/>
  <c r="O11" i="4"/>
  <c r="N11" i="4"/>
  <c r="M11" i="4"/>
  <c r="P10" i="4"/>
  <c r="O10" i="4"/>
  <c r="N10" i="4"/>
  <c r="M10" i="4"/>
  <c r="P9" i="4"/>
  <c r="O9" i="4"/>
  <c r="N9" i="4"/>
  <c r="M9" i="4"/>
  <c r="P8" i="4"/>
  <c r="O8" i="4"/>
  <c r="N8" i="4"/>
  <c r="M8" i="4"/>
  <c r="P7" i="4"/>
  <c r="O7" i="4"/>
  <c r="N7" i="4"/>
  <c r="M7" i="4"/>
  <c r="P6" i="4"/>
  <c r="O6" i="4"/>
  <c r="N6" i="4"/>
  <c r="M6" i="4"/>
  <c r="P5" i="4"/>
  <c r="O5" i="4"/>
  <c r="N5" i="4"/>
  <c r="M5" i="4"/>
  <c r="P4" i="4"/>
  <c r="O4" i="4"/>
  <c r="N4" i="4"/>
  <c r="M4" i="4"/>
  <c r="P3" i="4"/>
  <c r="O3" i="4"/>
  <c r="N3" i="4"/>
  <c r="M3" i="4"/>
  <c r="B3" i="4"/>
  <c r="B4" i="4" s="1"/>
  <c r="E25" i="3"/>
  <c r="C25" i="3"/>
  <c r="E24" i="3"/>
  <c r="C24" i="3"/>
  <c r="G10" i="6" s="1"/>
  <c r="E23" i="3"/>
  <c r="C23" i="3"/>
  <c r="B5" i="4" l="1"/>
  <c r="C4" i="4"/>
  <c r="G4" i="4" s="1"/>
  <c r="E4" i="4"/>
  <c r="F4" i="4" s="1"/>
  <c r="L4" i="4" s="1"/>
  <c r="B9" i="6"/>
  <c r="C9" i="6"/>
  <c r="D5" i="6"/>
  <c r="D7" i="6"/>
  <c r="D9" i="6"/>
  <c r="B5" i="6"/>
  <c r="B7" i="6"/>
  <c r="E9" i="6"/>
  <c r="C5" i="6"/>
  <c r="C7" i="6"/>
  <c r="F9" i="6"/>
  <c r="E5" i="6"/>
  <c r="E7" i="6"/>
  <c r="G9" i="6"/>
  <c r="F4" i="6"/>
  <c r="F6" i="6"/>
  <c r="F8" i="6"/>
  <c r="B10" i="6"/>
  <c r="F5" i="6"/>
  <c r="F7" i="6"/>
  <c r="C8" i="6"/>
  <c r="C10" i="6"/>
  <c r="D10" i="6"/>
  <c r="B3" i="5"/>
  <c r="G5" i="6"/>
  <c r="G7" i="6"/>
  <c r="C3" i="4"/>
  <c r="B4" i="6"/>
  <c r="B6" i="6"/>
  <c r="B8" i="6"/>
  <c r="D3" i="4"/>
  <c r="C4" i="6"/>
  <c r="C6" i="6"/>
  <c r="E3" i="4"/>
  <c r="F3" i="4" s="1"/>
  <c r="L3" i="4" s="1"/>
  <c r="D4" i="6"/>
  <c r="D6" i="6"/>
  <c r="D8" i="6"/>
  <c r="E4" i="6"/>
  <c r="E6" i="6"/>
  <c r="E8" i="6"/>
  <c r="E10" i="6"/>
  <c r="F10" i="6"/>
  <c r="G4" i="6"/>
  <c r="G6" i="6"/>
  <c r="G8" i="6"/>
  <c r="H3" i="4" l="1"/>
  <c r="B5" i="5"/>
  <c r="B4" i="5"/>
  <c r="B14" i="5"/>
  <c r="G3" i="4"/>
  <c r="B13" i="5"/>
  <c r="B10" i="5"/>
  <c r="B12" i="5"/>
  <c r="D4" i="4"/>
  <c r="H4" i="4" s="1"/>
  <c r="I4" i="4" s="1"/>
  <c r="B6" i="4"/>
  <c r="E5" i="4"/>
  <c r="F5" i="4" s="1"/>
  <c r="L5" i="4" s="1"/>
  <c r="D5" i="4"/>
  <c r="H5" i="4" s="1"/>
  <c r="C5" i="4"/>
  <c r="G5" i="4" s="1"/>
  <c r="B15" i="5"/>
  <c r="J4" i="4" l="1"/>
  <c r="K4" i="4" s="1"/>
  <c r="I3" i="4"/>
  <c r="I5" i="4"/>
  <c r="B7" i="4"/>
  <c r="C6" i="4"/>
  <c r="G6" i="4" s="1"/>
  <c r="E6" i="4"/>
  <c r="F6" i="4" s="1"/>
  <c r="L6" i="4" s="1"/>
  <c r="Q4" i="4" l="1"/>
  <c r="R4" i="4" s="1"/>
  <c r="S4" i="4" s="1"/>
  <c r="D6" i="4"/>
  <c r="H6" i="4" s="1"/>
  <c r="I6" i="4"/>
  <c r="B8" i="4"/>
  <c r="E7" i="4"/>
  <c r="F7" i="4" s="1"/>
  <c r="L7" i="4" s="1"/>
  <c r="C7" i="4"/>
  <c r="G7" i="4" s="1"/>
  <c r="J5" i="4"/>
  <c r="K5" i="4"/>
  <c r="J3" i="4"/>
  <c r="K3" i="4"/>
  <c r="B9" i="5" l="1"/>
  <c r="B6" i="5"/>
  <c r="Q3" i="4"/>
  <c r="R3" i="4" s="1"/>
  <c r="B7" i="5" s="1"/>
  <c r="S3" i="4"/>
  <c r="B8" i="5" s="1"/>
  <c r="B11" i="5"/>
  <c r="Q5" i="4"/>
  <c r="R5" i="4" s="1"/>
  <c r="S5" i="4"/>
  <c r="D7" i="4"/>
  <c r="H7" i="4" s="1"/>
  <c r="I7" i="4" s="1"/>
  <c r="B9" i="4"/>
  <c r="D8" i="4"/>
  <c r="H8" i="4" s="1"/>
  <c r="C8" i="4"/>
  <c r="G8" i="4" s="1"/>
  <c r="E8" i="4"/>
  <c r="F8" i="4" s="1"/>
  <c r="L8" i="4" s="1"/>
  <c r="J6" i="4"/>
  <c r="K6" i="4" s="1"/>
  <c r="J7" i="4" l="1"/>
  <c r="K7" i="4"/>
  <c r="Q6" i="4"/>
  <c r="R6" i="4" s="1"/>
  <c r="S6" i="4" s="1"/>
  <c r="B10" i="4"/>
  <c r="E9" i="4"/>
  <c r="F9" i="4" s="1"/>
  <c r="L9" i="4" s="1"/>
  <c r="C9" i="4"/>
  <c r="G9" i="4" s="1"/>
  <c r="I8" i="4"/>
  <c r="J8" i="4" l="1"/>
  <c r="K8" i="4" s="1"/>
  <c r="D9" i="4"/>
  <c r="H9" i="4" s="1"/>
  <c r="I9" i="4" s="1"/>
  <c r="B11" i="4"/>
  <c r="C10" i="4"/>
  <c r="G10" i="4" s="1"/>
  <c r="E10" i="4"/>
  <c r="F10" i="4" s="1"/>
  <c r="L10" i="4" s="1"/>
  <c r="Q7" i="4"/>
  <c r="R7" i="4" s="1"/>
  <c r="S7" i="4"/>
  <c r="J9" i="4" l="1"/>
  <c r="K9" i="4"/>
  <c r="S8" i="4"/>
  <c r="Q8" i="4"/>
  <c r="R8" i="4" s="1"/>
  <c r="B12" i="4"/>
  <c r="E11" i="4"/>
  <c r="F11" i="4" s="1"/>
  <c r="L11" i="4" s="1"/>
  <c r="C11" i="4"/>
  <c r="G11" i="4" s="1"/>
  <c r="D10" i="4"/>
  <c r="H10" i="4" s="1"/>
  <c r="I10" i="4" s="1"/>
  <c r="J10" i="4" l="1"/>
  <c r="K10" i="4" s="1"/>
  <c r="Q9" i="4"/>
  <c r="R9" i="4" s="1"/>
  <c r="S9" i="4"/>
  <c r="D11" i="4"/>
  <c r="H11" i="4" s="1"/>
  <c r="I11" i="4" s="1"/>
  <c r="B13" i="4"/>
  <c r="C12" i="4"/>
  <c r="G12" i="4" s="1"/>
  <c r="E12" i="4"/>
  <c r="F12" i="4" s="1"/>
  <c r="L12" i="4" s="1"/>
  <c r="J11" i="4" l="1"/>
  <c r="K11" i="4"/>
  <c r="Q10" i="4"/>
  <c r="R10" i="4" s="1"/>
  <c r="S10" i="4" s="1"/>
  <c r="D12" i="4"/>
  <c r="H12" i="4" s="1"/>
  <c r="I12" i="4" s="1"/>
  <c r="B14" i="4"/>
  <c r="E13" i="4"/>
  <c r="F13" i="4" s="1"/>
  <c r="L13" i="4" s="1"/>
  <c r="D13" i="4"/>
  <c r="H13" i="4" s="1"/>
  <c r="C13" i="4"/>
  <c r="G13" i="4" s="1"/>
  <c r="J12" i="4" l="1"/>
  <c r="K12" i="4" s="1"/>
  <c r="I13" i="4"/>
  <c r="C14" i="4"/>
  <c r="G14" i="4" s="1"/>
  <c r="E14" i="4"/>
  <c r="F14" i="4" s="1"/>
  <c r="L14" i="4" s="1"/>
  <c r="Q11" i="4"/>
  <c r="R11" i="4" s="1"/>
  <c r="S11" i="4" s="1"/>
  <c r="Q12" i="4" l="1"/>
  <c r="R12" i="4" s="1"/>
  <c r="S12" i="4" s="1"/>
  <c r="D14" i="4"/>
  <c r="H14" i="4" s="1"/>
  <c r="I14" i="4" s="1"/>
  <c r="J13" i="4"/>
  <c r="K13" i="4"/>
  <c r="J14" i="4" l="1"/>
  <c r="K14" i="4" s="1"/>
  <c r="Q13" i="4"/>
  <c r="R13" i="4" s="1"/>
  <c r="S13" i="4"/>
  <c r="Q14" i="4" l="1"/>
  <c r="R14" i="4" s="1"/>
  <c r="S14" i="4" s="1"/>
</calcChain>
</file>

<file path=xl/sharedStrings.xml><?xml version="1.0" encoding="utf-8"?>
<sst xmlns="http://schemas.openxmlformats.org/spreadsheetml/2006/main" count="187" uniqueCount="150">
  <si>
    <t>ResumeBuilder AI — Detailed Financial Model (500 Users)</t>
  </si>
  <si>
    <t>How to use:</t>
  </si>
  <si>
    <t>1) Go to the Inputs sheet and edit the yellow cells (assumptions).</t>
  </si>
  <si>
    <t>2) Choose a scenario in Inputs!B6 (Conservative / Base / Aggressive).</t>
  </si>
  <si>
    <t>3) Review the Monthly Forecast, Unit Economics, and Sensitivity sheets.</t>
  </si>
  <si>
    <t>4) Recommendations sheet includes practical targets and next experiments.</t>
  </si>
  <si>
    <t>Model notes:</t>
  </si>
  <si>
    <t>• This model assumes monthly conversion rates apply to MAU for each month (simple, planning-grade).</t>
  </si>
  <si>
    <t>• Subscription churn is used for LTV estimates (job-seeker churn is naturally high).</t>
  </si>
  <si>
    <t>• AI cost is based on tokens = MAU × tailors/user × tokens/tailor; adjust token assumptions for your prompt design.</t>
  </si>
  <si>
    <t>Last updated: 2026-01-18</t>
  </si>
  <si>
    <t>Scenario</t>
  </si>
  <si>
    <t>Sub Conversion</t>
  </si>
  <si>
    <t>One-Time Conversion</t>
  </si>
  <si>
    <t>Monthly Sub Churn</t>
  </si>
  <si>
    <t>Notes</t>
  </si>
  <si>
    <t>Conservative</t>
  </si>
  <si>
    <t>Lower conversion, higher churn</t>
  </si>
  <si>
    <t>Base</t>
  </si>
  <si>
    <t>Balanced / realistic starting point</t>
  </si>
  <si>
    <t>Aggressive</t>
  </si>
  <si>
    <t>Strong product-market fit + good activation</t>
  </si>
  <si>
    <t>Editable Inputs (yellow)</t>
  </si>
  <si>
    <t>Select a scenario; conversion &amp; churn auto-fill from Scenarios sheet.</t>
  </si>
  <si>
    <t>Category</t>
  </si>
  <si>
    <t>Metric</t>
  </si>
  <si>
    <t>Value</t>
  </si>
  <si>
    <t>Units</t>
  </si>
  <si>
    <t>Users</t>
  </si>
  <si>
    <t>Monthly Active Users (MAU)</t>
  </si>
  <si>
    <t>users</t>
  </si>
  <si>
    <t>Planning baseline</t>
  </si>
  <si>
    <t>Monthly MAU growth</t>
  </si>
  <si>
    <t>%</t>
  </si>
  <si>
    <t>Set &gt;0 if you expect growth</t>
  </si>
  <si>
    <t>Usage</t>
  </si>
  <si>
    <t>Tailors (or exports) per active user / month</t>
  </si>
  <si>
    <t>count</t>
  </si>
  <si>
    <t>Avg across all users</t>
  </si>
  <si>
    <t>Tokens per tailor (prompt+output)</t>
  </si>
  <si>
    <t>tokens</t>
  </si>
  <si>
    <t>Adjust based on your prompt length/output</t>
  </si>
  <si>
    <t>Pricing</t>
  </si>
  <si>
    <t>Subscription price</t>
  </si>
  <si>
    <t>USD</t>
  </si>
  <si>
    <t>Monthly job-seeker plan</t>
  </si>
  <si>
    <t>One-time price</t>
  </si>
  <si>
    <t>Per export/tailor</t>
  </si>
  <si>
    <t>Costs</t>
  </si>
  <si>
    <t>AI cost per 1M tokens</t>
  </si>
  <si>
    <t>Put your real model blended cost here</t>
  </si>
  <si>
    <t>Infrastructure &amp; tools (fixed)</t>
  </si>
  <si>
    <t>USD/mo</t>
  </si>
  <si>
    <t>Vercel + Supabase + email + monitoring</t>
  </si>
  <si>
    <t>Support hours / month</t>
  </si>
  <si>
    <t>hours</t>
  </si>
  <si>
    <t>Includes maintenance + prompt tuning</t>
  </si>
  <si>
    <t>Fully-loaded hourly cost</t>
  </si>
  <si>
    <t>USD/hr</t>
  </si>
  <si>
    <t>Valuation even if founder time</t>
  </si>
  <si>
    <t>Marketing spend</t>
  </si>
  <si>
    <t>Cash spend (set 0 if organic)</t>
  </si>
  <si>
    <t>Accounting &amp; misc buffer</t>
  </si>
  <si>
    <t>Bookkeeping, refunds buffer, misc tools</t>
  </si>
  <si>
    <t>Payments</t>
  </si>
  <si>
    <t>Payment fee percentage</t>
  </si>
  <si>
    <t>Stripe-like</t>
  </si>
  <si>
    <t>Payment fixed fee per transaction</t>
  </si>
  <si>
    <t>Risk</t>
  </si>
  <si>
    <t>Refunds/chargebacks rate</t>
  </si>
  <si>
    <t>Conservative buffer</t>
  </si>
  <si>
    <t>Auto-filled from Scenario</t>
  </si>
  <si>
    <t>Formula</t>
  </si>
  <si>
    <t>Subscription conversion</t>
  </si>
  <si>
    <t>One-time conversion</t>
  </si>
  <si>
    <t>Monthly subscription churn</t>
  </si>
  <si>
    <t>12-Month Forecast</t>
  </si>
  <si>
    <t>Month</t>
  </si>
  <si>
    <t>MAU</t>
  </si>
  <si>
    <t>Subscribers</t>
  </si>
  <si>
    <t>One-time Buyers</t>
  </si>
  <si>
    <t>Tailors</t>
  </si>
  <si>
    <t>Tokens</t>
  </si>
  <si>
    <t>Sub Revenue</t>
  </si>
  <si>
    <t>One-time Revenue</t>
  </si>
  <si>
    <t>Gross Revenue</t>
  </si>
  <si>
    <t>Refunds</t>
  </si>
  <si>
    <t>Net Revenue</t>
  </si>
  <si>
    <t>AI Cost</t>
  </si>
  <si>
    <t>Infra &amp; Tools</t>
  </si>
  <si>
    <t>Support Cost</t>
  </si>
  <si>
    <t>Marketing</t>
  </si>
  <si>
    <t>Accounting/Misc</t>
  </si>
  <si>
    <t>Payment Fees</t>
  </si>
  <si>
    <t>Total Costs</t>
  </si>
  <si>
    <t>Operating Profit</t>
  </si>
  <si>
    <t>Unit Economics (Based on Month 1)</t>
  </si>
  <si>
    <t>Monthly active users</t>
  </si>
  <si>
    <t>Estimated subscribers in month</t>
  </si>
  <si>
    <t>One-time buyers</t>
  </si>
  <si>
    <t>Estimated one-time transactions</t>
  </si>
  <si>
    <t>After refunds</t>
  </si>
  <si>
    <t>All modeled costs</t>
  </si>
  <si>
    <t>Net revenue - total costs</t>
  </si>
  <si>
    <t>ARPU (Net Rev / MAU)</t>
  </si>
  <si>
    <t>Per active user</t>
  </si>
  <si>
    <t>AI cost per active user</t>
  </si>
  <si>
    <t>Target &lt;$0.20–$0.50</t>
  </si>
  <si>
    <t>Gross margin (Net Rev - AI - Fees) / Net Rev</t>
  </si>
  <si>
    <t>High-level gross margin</t>
  </si>
  <si>
    <t>Subscription LTV (simple)</t>
  </si>
  <si>
    <t>Contribution margin / churn (planning-grade)</t>
  </si>
  <si>
    <t>Paid customers (subs + one-time)</t>
  </si>
  <si>
    <t>Transactions count</t>
  </si>
  <si>
    <t>Blended CAC (Marketing / paid tx)</t>
  </si>
  <si>
    <t>Marketing spend / paid transactions</t>
  </si>
  <si>
    <t>Payback (months) = CAC / (LTV * churn)</t>
  </si>
  <si>
    <t>Approx. months to recover CAC from sub contribution</t>
  </si>
  <si>
    <t>Sensitivity: Profit vs Subscription Conversion &amp; Marketing Spend (Month 1)</t>
  </si>
  <si>
    <t>Sub Conversion →</t>
  </si>
  <si>
    <t>Recommendations (Practical, 500-User Stage)</t>
  </si>
  <si>
    <t>Priority</t>
  </si>
  <si>
    <t>Recommendation</t>
  </si>
  <si>
    <t>What to do</t>
  </si>
  <si>
    <t>Target / Why it matters</t>
  </si>
  <si>
    <t>1) Optimize activation before scaling traffic</t>
  </si>
  <si>
    <t>Focus on Signup → First export/tailor completion. Add onboarding checklist, template preview, and a clear “Tailor to this job” CTA in the editor.</t>
  </si>
  <si>
    <t>Target: Signup→First export 50–70%; reduce drop-offs with better error handling and progress UI.</t>
  </si>
  <si>
    <t>2) Protect margins with credit limits + caching</t>
  </si>
  <si>
    <t>Cap free credits, cap output length, cache identical generations, and prefer cheaper models for drafts; reserve premium model for final polish.</t>
  </si>
  <si>
    <t>Target: AI cost per active user &lt;$0.20–$0.50; watch token spikes from long job descriptions.</t>
  </si>
  <si>
    <t>3) Pricing experiments (fast, measurable)</t>
  </si>
  <si>
    <t>A/B test $19 vs $24, and test a weekly plan (e.g., $7/week) for high-churn job seekers. Keep $9 one-time as impulse option.</t>
  </si>
  <si>
    <t>Goal: Improve revenue without harming conversion; watch refund rate (&lt;2%).</t>
  </si>
  <si>
    <t>4) Convert exports into referrals</t>
  </si>
  <si>
    <t>Add subtle “Made with ResumeBuilder AI” referral link on free/watermarked exports; give both users extra credits.</t>
  </si>
  <si>
    <t>Goal: Reduce CAC; build organic loop.</t>
  </si>
  <si>
    <t>5) Channel focus (lowest CAC first)</t>
  </si>
  <si>
    <t>Start with SEO pages per role (“ATS resume for data analyst”), then short-form before/after content. Use paid ads only after conversion is stable.</t>
  </si>
  <si>
    <t>Rule: Only scale ads when LTV ≥ 3× CAC and payback &lt; 2 months.</t>
  </si>
  <si>
    <t>6) KPI dashboard and weekly cost audit</t>
  </si>
  <si>
    <t>Track funnel + unit economics weekly: MAU, activation, conversion, AI cost/user, refunds, churn.</t>
  </si>
  <si>
    <t>Prevent silent margin erosion from token growth, retries, or prompt bloat.</t>
  </si>
  <si>
    <t>Suggested KPI Targets</t>
  </si>
  <si>
    <t>Activation (signup → first export): 50–70%</t>
  </si>
  <si>
    <t>Free → paid conversion (overall): 10–25%</t>
  </si>
  <si>
    <t>Monthly churn (subs): 8–20% (job seekers are naturally high)</t>
  </si>
  <si>
    <t>Refund rate: &lt; 2%</t>
  </si>
  <si>
    <t>AI cost per active user: &lt;$0.20–$0.50</t>
  </si>
  <si>
    <t>LTV : CAC ≥ 3× and payback &lt;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</si>
</sst>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"/>
    <numFmt numFmtId="165" formatCode="0.0"/>
    <numFmt numFmtId="166" formatCode="\$#,##0.00"/>
    <numFmt numFmtId="167" formatCode="0.0%"/>
    <numFmt numFmtId="168" formatCode="\$#,##0"/>
  </numFmts>
  <fonts count="7" x14ac:knownFonts="1">
    <font>
      <sz val="11"/>
      <color theme="1"/>
      <name val="Arial"/>
      <family val="2"/>
      <scheme val="minor"/>
    </font>
    <font>
      <b/>
      <sz val="16"/>
      <name val="Arial"/>
    </font>
    <font>
      <b/>
      <sz val="11"/>
      <name val="Arial"/>
    </font>
    <font>
      <i/>
      <sz val="11"/>
      <color rgb="FF6B6B6B"/>
      <name val="Arial"/>
    </font>
    <font>
      <b/>
      <sz val="11"/>
      <color rgb="FFFFFFFF"/>
      <name val="Arial"/>
    </font>
    <font>
      <b/>
      <sz val="14"/>
      <name val="Arial"/>
    </font>
    <font>
      <sz val="11"/>
      <color rgb="FF6B6B6B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10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2" fillId="4" borderId="1" xfId="0" applyFont="1" applyFill="1" applyBorder="1"/>
    <xf numFmtId="0" fontId="0" fillId="0" borderId="1" xfId="0" applyBorder="1"/>
    <xf numFmtId="9" fontId="0" fillId="5" borderId="1" xfId="0" applyNumberFormat="1" applyFill="1" applyBorder="1"/>
    <xf numFmtId="1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2" fillId="0" borderId="1" xfId="0" applyFont="1" applyBorder="1"/>
    <xf numFmtId="9" fontId="2" fillId="4" borderId="1" xfId="0" applyNumberFormat="1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Operating Profit (Monthly)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Forecast'!$S$2</c:f>
              <c:strCache>
                <c:ptCount val="1"/>
                <c:pt idx="0">
                  <c:v>Operating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'Monthly Forecast'!$A$3:$A$14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'Monthly Forecast'!$S$3:$S$14</c:f>
              <c:numCache>
                <c:formatCode>\$#,##0.00</c:formatCode>
                <c:ptCount val="12"/>
                <c:pt idx="0">
                  <c:v>-69.290124999999989</c:v>
                </c:pt>
                <c:pt idx="1">
                  <c:v>-69.290124999999989</c:v>
                </c:pt>
                <c:pt idx="2">
                  <c:v>-69.290124999999989</c:v>
                </c:pt>
                <c:pt idx="3">
                  <c:v>-69.290124999999989</c:v>
                </c:pt>
                <c:pt idx="4">
                  <c:v>-69.290124999999989</c:v>
                </c:pt>
                <c:pt idx="5">
                  <c:v>-69.290124999999989</c:v>
                </c:pt>
                <c:pt idx="6">
                  <c:v>-69.290124999999989</c:v>
                </c:pt>
                <c:pt idx="7">
                  <c:v>-69.290124999999989</c:v>
                </c:pt>
                <c:pt idx="8">
                  <c:v>-69.290124999999989</c:v>
                </c:pt>
                <c:pt idx="9">
                  <c:v>-69.290124999999989</c:v>
                </c:pt>
                <c:pt idx="10">
                  <c:v>-69.290124999999989</c:v>
                </c:pt>
                <c:pt idx="11">
                  <c:v>-69.290124999999989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5A-49E2-B029-678C79D2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" x14ac:dyDescent="0.3"/>
  <cols>
    <col min="1" max="1" width="110" customWidth="1"/>
  </cols>
  <sheetData>
    <row r="1" spans="1:1" ht="20" x14ac:dyDescent="0.4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ht="14.5" x14ac:dyDescent="0.35">
      <c r="A14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" x14ac:dyDescent="0.3"/>
  <cols>
    <col min="1" max="1" width="18" customWidth="1"/>
    <col min="2" max="2" width="16" customWidth="1"/>
    <col min="3" max="4" width="18" customWidth="1"/>
    <col min="5" max="5" width="48" customWidth="1"/>
  </cols>
  <sheetData>
    <row r="1" spans="1:5" ht="28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 x14ac:dyDescent="0.3">
      <c r="A2" s="5" t="s">
        <v>16</v>
      </c>
      <c r="B2" s="6">
        <v>7.0000000000000007E-2</v>
      </c>
      <c r="C2" s="6">
        <v>0.03</v>
      </c>
      <c r="D2" s="6">
        <v>0.18</v>
      </c>
      <c r="E2" s="5" t="s">
        <v>17</v>
      </c>
    </row>
    <row r="3" spans="1:5" x14ac:dyDescent="0.3">
      <c r="A3" s="5" t="s">
        <v>18</v>
      </c>
      <c r="B3" s="6">
        <v>0.15</v>
      </c>
      <c r="C3" s="6">
        <v>0.05</v>
      </c>
      <c r="D3" s="6">
        <v>0.12</v>
      </c>
      <c r="E3" s="5" t="s">
        <v>19</v>
      </c>
    </row>
    <row r="4" spans="1:5" x14ac:dyDescent="0.3">
      <c r="A4" s="5" t="s">
        <v>20</v>
      </c>
      <c r="B4" s="6">
        <v>0.25</v>
      </c>
      <c r="C4" s="6">
        <v>0.08</v>
      </c>
      <c r="D4" s="6">
        <v>0.1</v>
      </c>
      <c r="E4" s="5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5" topLeftCell="A6" activePane="bottomLeft" state="frozen"/>
      <selection pane="bottomLeft" activeCell="C16" sqref="C16"/>
    </sheetView>
  </sheetViews>
  <sheetFormatPr defaultRowHeight="14" x14ac:dyDescent="0.3"/>
  <cols>
    <col min="1" max="1" width="14" customWidth="1"/>
    <col min="2" max="2" width="44" customWidth="1"/>
    <col min="3" max="3" width="16" customWidth="1"/>
    <col min="4" max="4" width="12" customWidth="1"/>
    <col min="5" max="5" width="52" customWidth="1"/>
  </cols>
  <sheetData>
    <row r="1" spans="1:5" ht="18" x14ac:dyDescent="0.4">
      <c r="A1" s="7" t="s">
        <v>22</v>
      </c>
    </row>
    <row r="3" spans="1:5" x14ac:dyDescent="0.3">
      <c r="A3" s="2" t="s">
        <v>11</v>
      </c>
      <c r="B3" t="s">
        <v>18</v>
      </c>
      <c r="C3" s="8" t="s">
        <v>23</v>
      </c>
    </row>
    <row r="5" spans="1:5" x14ac:dyDescent="0.3">
      <c r="A5" t="s">
        <v>24</v>
      </c>
      <c r="B5" t="s">
        <v>25</v>
      </c>
      <c r="C5" t="s">
        <v>26</v>
      </c>
      <c r="D5" t="s">
        <v>27</v>
      </c>
      <c r="E5" t="s">
        <v>15</v>
      </c>
    </row>
    <row r="6" spans="1:5" x14ac:dyDescent="0.3">
      <c r="A6" s="4" t="s">
        <v>28</v>
      </c>
      <c r="B6" s="4" t="s">
        <v>29</v>
      </c>
      <c r="C6" s="4">
        <v>500</v>
      </c>
      <c r="D6" s="4" t="s">
        <v>30</v>
      </c>
      <c r="E6" s="4" t="s">
        <v>31</v>
      </c>
    </row>
    <row r="7" spans="1:5" x14ac:dyDescent="0.3">
      <c r="A7" s="5" t="s">
        <v>28</v>
      </c>
      <c r="B7" s="5" t="s">
        <v>32</v>
      </c>
      <c r="C7" s="9">
        <v>0</v>
      </c>
      <c r="D7" s="5" t="s">
        <v>33</v>
      </c>
      <c r="E7" s="5" t="s">
        <v>34</v>
      </c>
    </row>
    <row r="8" spans="1:5" x14ac:dyDescent="0.3">
      <c r="A8" s="5" t="s">
        <v>35</v>
      </c>
      <c r="B8" s="5" t="s">
        <v>36</v>
      </c>
      <c r="C8" s="10">
        <v>1.5</v>
      </c>
      <c r="D8" s="5" t="s">
        <v>37</v>
      </c>
      <c r="E8" s="5" t="s">
        <v>38</v>
      </c>
    </row>
    <row r="9" spans="1:5" x14ac:dyDescent="0.3">
      <c r="A9" s="5" t="s">
        <v>35</v>
      </c>
      <c r="B9" s="5" t="s">
        <v>39</v>
      </c>
      <c r="C9" s="10">
        <v>30000</v>
      </c>
      <c r="D9" s="5" t="s">
        <v>40</v>
      </c>
      <c r="E9" s="5" t="s">
        <v>41</v>
      </c>
    </row>
    <row r="10" spans="1:5" x14ac:dyDescent="0.3">
      <c r="A10" s="5" t="s">
        <v>42</v>
      </c>
      <c r="B10" s="5" t="s">
        <v>43</v>
      </c>
      <c r="C10" s="11">
        <v>19</v>
      </c>
      <c r="D10" s="5" t="s">
        <v>44</v>
      </c>
      <c r="E10" s="5" t="s">
        <v>45</v>
      </c>
    </row>
    <row r="11" spans="1:5" x14ac:dyDescent="0.3">
      <c r="A11" s="5" t="s">
        <v>42</v>
      </c>
      <c r="B11" s="5" t="s">
        <v>46</v>
      </c>
      <c r="C11" s="11">
        <v>9</v>
      </c>
      <c r="D11" s="5" t="s">
        <v>44</v>
      </c>
      <c r="E11" s="5" t="s">
        <v>47</v>
      </c>
    </row>
    <row r="12" spans="1:5" x14ac:dyDescent="0.3">
      <c r="A12" s="5" t="s">
        <v>48</v>
      </c>
      <c r="B12" s="5" t="s">
        <v>49</v>
      </c>
      <c r="C12" s="11">
        <v>3</v>
      </c>
      <c r="D12" s="5" t="s">
        <v>44</v>
      </c>
      <c r="E12" s="5" t="s">
        <v>50</v>
      </c>
    </row>
    <row r="13" spans="1:5" x14ac:dyDescent="0.3">
      <c r="A13" s="5" t="s">
        <v>48</v>
      </c>
      <c r="B13" s="5" t="s">
        <v>51</v>
      </c>
      <c r="C13" s="11">
        <v>250</v>
      </c>
      <c r="D13" s="5" t="s">
        <v>52</v>
      </c>
      <c r="E13" s="5" t="s">
        <v>53</v>
      </c>
    </row>
    <row r="14" spans="1:5" x14ac:dyDescent="0.3">
      <c r="A14" s="5" t="s">
        <v>48</v>
      </c>
      <c r="B14" s="5" t="s">
        <v>54</v>
      </c>
      <c r="C14" s="10">
        <v>15</v>
      </c>
      <c r="D14" s="5" t="s">
        <v>55</v>
      </c>
      <c r="E14" s="5" t="s">
        <v>56</v>
      </c>
    </row>
    <row r="15" spans="1:5" x14ac:dyDescent="0.3">
      <c r="A15" s="5" t="s">
        <v>48</v>
      </c>
      <c r="B15" s="5" t="s">
        <v>57</v>
      </c>
      <c r="C15" s="11">
        <v>30</v>
      </c>
      <c r="D15" s="5" t="s">
        <v>58</v>
      </c>
      <c r="E15" s="5" t="s">
        <v>59</v>
      </c>
    </row>
    <row r="16" spans="1:5" x14ac:dyDescent="0.3">
      <c r="A16" s="5" t="s">
        <v>48</v>
      </c>
      <c r="B16" s="5" t="s">
        <v>60</v>
      </c>
      <c r="C16" s="11">
        <v>750</v>
      </c>
      <c r="D16" s="5" t="s">
        <v>52</v>
      </c>
      <c r="E16" s="5" t="s">
        <v>61</v>
      </c>
    </row>
    <row r="17" spans="1:5" x14ac:dyDescent="0.3">
      <c r="A17" s="5" t="s">
        <v>48</v>
      </c>
      <c r="B17" s="5" t="s">
        <v>62</v>
      </c>
      <c r="C17" s="11">
        <v>75</v>
      </c>
      <c r="D17" s="5" t="s">
        <v>52</v>
      </c>
      <c r="E17" s="5" t="s">
        <v>63</v>
      </c>
    </row>
    <row r="18" spans="1:5" x14ac:dyDescent="0.3">
      <c r="A18" s="5" t="s">
        <v>64</v>
      </c>
      <c r="B18" s="5" t="s">
        <v>65</v>
      </c>
      <c r="C18" s="9">
        <v>0.03</v>
      </c>
      <c r="D18" s="5" t="s">
        <v>33</v>
      </c>
      <c r="E18" s="5" t="s">
        <v>66</v>
      </c>
    </row>
    <row r="19" spans="1:5" x14ac:dyDescent="0.3">
      <c r="A19" s="5" t="s">
        <v>64</v>
      </c>
      <c r="B19" s="5" t="s">
        <v>67</v>
      </c>
      <c r="C19" s="11">
        <v>0.3</v>
      </c>
      <c r="D19" s="5" t="s">
        <v>44</v>
      </c>
      <c r="E19" s="5" t="s">
        <v>66</v>
      </c>
    </row>
    <row r="20" spans="1:5" x14ac:dyDescent="0.3">
      <c r="A20" s="5" t="s">
        <v>68</v>
      </c>
      <c r="B20" s="5" t="s">
        <v>69</v>
      </c>
      <c r="C20" s="9">
        <v>0.01</v>
      </c>
      <c r="D20" s="5" t="s">
        <v>33</v>
      </c>
      <c r="E20" s="5" t="s">
        <v>70</v>
      </c>
    </row>
    <row r="22" spans="1:5" x14ac:dyDescent="0.3">
      <c r="A22" s="12" t="s">
        <v>71</v>
      </c>
      <c r="B22" s="12" t="s">
        <v>25</v>
      </c>
      <c r="C22" s="12" t="s">
        <v>26</v>
      </c>
      <c r="D22" s="12" t="s">
        <v>27</v>
      </c>
      <c r="E22" s="12" t="s">
        <v>72</v>
      </c>
    </row>
    <row r="23" spans="1:5" x14ac:dyDescent="0.3">
      <c r="A23" s="13" t="s">
        <v>11</v>
      </c>
      <c r="B23" s="13" t="s">
        <v>73</v>
      </c>
      <c r="C23" s="14">
        <f>INDEX(Scenarios!B:B, MATCH($B$3, Scenarios!A:A, 0))</f>
        <v>0.15</v>
      </c>
      <c r="D23" s="13" t="s">
        <v>33</v>
      </c>
      <c r="E23" s="13">
        <f>INDEX(Scenarios!B:B, MATCH($B$3, Scenarios!A:A, 0))</f>
        <v>0.15</v>
      </c>
    </row>
    <row r="24" spans="1:5" x14ac:dyDescent="0.3">
      <c r="A24" s="13" t="s">
        <v>11</v>
      </c>
      <c r="B24" s="13" t="s">
        <v>74</v>
      </c>
      <c r="C24" s="14">
        <f>INDEX(Scenarios!C:C, MATCH($B$3, Scenarios!A:A, 0))</f>
        <v>0.05</v>
      </c>
      <c r="D24" s="13" t="s">
        <v>33</v>
      </c>
      <c r="E24" s="13">
        <f>INDEX(Scenarios!C:C, MATCH($B$3, Scenarios!A:A, 0))</f>
        <v>0.05</v>
      </c>
    </row>
    <row r="25" spans="1:5" x14ac:dyDescent="0.3">
      <c r="A25" s="13" t="s">
        <v>11</v>
      </c>
      <c r="B25" s="13" t="s">
        <v>75</v>
      </c>
      <c r="C25" s="14">
        <f>INDEX(Scenarios!D:D, MATCH($B$3, Scenarios!A:A, 0))</f>
        <v>0.12</v>
      </c>
      <c r="D25" s="13" t="s">
        <v>33</v>
      </c>
      <c r="E25" s="13">
        <f>INDEX(Scenarios!D:D, MATCH($B$3, Scenarios!A:A, 0))</f>
        <v>0.12</v>
      </c>
    </row>
  </sheetData>
  <dataValidations count="1">
    <dataValidation type="list" sqref="B3" xr:uid="{00000000-0002-0000-0200-000000000000}">
      <formula1>"Conservative,Base,Aggressive"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4"/>
  <sheetViews>
    <sheetView workbookViewId="0">
      <pane ySplit="2" topLeftCell="A3" activePane="bottomLeft" state="frozen"/>
      <selection pane="bottomLeft"/>
    </sheetView>
  </sheetViews>
  <sheetFormatPr defaultRowHeight="14" x14ac:dyDescent="0.3"/>
  <cols>
    <col min="1" max="1" width="8" customWidth="1"/>
    <col min="2" max="2" width="10" customWidth="1"/>
    <col min="3" max="3" width="12" customWidth="1"/>
    <col min="4" max="4" width="14" customWidth="1"/>
    <col min="5" max="5" width="10" customWidth="1"/>
    <col min="6" max="7" width="12" customWidth="1"/>
    <col min="8" max="8" width="14" customWidth="1"/>
    <col min="9" max="9" width="13" customWidth="1"/>
    <col min="10" max="10" width="10" customWidth="1"/>
    <col min="11" max="11" width="12" customWidth="1"/>
    <col min="12" max="12" width="10" customWidth="1"/>
    <col min="13" max="14" width="12" customWidth="1"/>
    <col min="15" max="15" width="10" customWidth="1"/>
    <col min="16" max="16" width="13" customWidth="1"/>
    <col min="17" max="18" width="12" customWidth="1"/>
    <col min="19" max="19" width="14" customWidth="1"/>
  </cols>
  <sheetData>
    <row r="1" spans="1:19" ht="18" x14ac:dyDescent="0.4">
      <c r="A1" s="7" t="s">
        <v>76</v>
      </c>
    </row>
    <row r="2" spans="1:19" ht="28" x14ac:dyDescent="0.3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90</v>
      </c>
      <c r="O2" s="4" t="s">
        <v>91</v>
      </c>
      <c r="P2" s="4" t="s">
        <v>92</v>
      </c>
      <c r="Q2" s="4" t="s">
        <v>93</v>
      </c>
      <c r="R2" s="4" t="s">
        <v>94</v>
      </c>
      <c r="S2" s="4" t="s">
        <v>95</v>
      </c>
    </row>
    <row r="3" spans="1:19" x14ac:dyDescent="0.3">
      <c r="A3" s="5">
        <v>1</v>
      </c>
      <c r="B3" s="15">
        <f>Inputs!C6</f>
        <v>500</v>
      </c>
      <c r="C3" s="15">
        <f>B3*Inputs!C23</f>
        <v>75</v>
      </c>
      <c r="D3" s="15">
        <f>(B3-C3)*Inputs!C24</f>
        <v>21.25</v>
      </c>
      <c r="E3" s="16">
        <f>B3*Inputs!C8</f>
        <v>750</v>
      </c>
      <c r="F3" s="15">
        <f>E3*Inputs!C9</f>
        <v>22500000</v>
      </c>
      <c r="G3" s="17">
        <f>C3*Inputs!C10</f>
        <v>1425</v>
      </c>
      <c r="H3" s="17">
        <f>D3*Inputs!C11</f>
        <v>191.25</v>
      </c>
      <c r="I3" s="17">
        <f t="shared" ref="I3:I14" si="0">G3+H3</f>
        <v>1616.25</v>
      </c>
      <c r="J3" s="17">
        <f>I3*Inputs!C20</f>
        <v>16.162500000000001</v>
      </c>
      <c r="K3" s="17">
        <f t="shared" ref="K3:K14" si="1">I3-J3</f>
        <v>1600.0875000000001</v>
      </c>
      <c r="L3" s="17">
        <f>(F3/1000000)*Inputs!C12</f>
        <v>67.5</v>
      </c>
      <c r="M3" s="17">
        <f>Inputs!C13</f>
        <v>250</v>
      </c>
      <c r="N3" s="17">
        <f>Inputs!C14*Inputs!C15</f>
        <v>450</v>
      </c>
      <c r="O3" s="17">
        <f>Inputs!C16</f>
        <v>750</v>
      </c>
      <c r="P3" s="17">
        <f>Inputs!C17</f>
        <v>75</v>
      </c>
      <c r="Q3" s="17">
        <f>(K3*Inputs!C18) + ((C3+D3)*Inputs!C19)</f>
        <v>76.877624999999995</v>
      </c>
      <c r="R3" s="17">
        <f t="shared" ref="R3:R14" si="2">L3+M3+N3+O3+P3+Q3</f>
        <v>1669.3776250000001</v>
      </c>
      <c r="S3" s="17">
        <f t="shared" ref="S3:S14" si="3">K3-R3</f>
        <v>-69.290124999999989</v>
      </c>
    </row>
    <row r="4" spans="1:19" x14ac:dyDescent="0.3">
      <c r="A4" s="5">
        <v>2</v>
      </c>
      <c r="B4" s="15">
        <f>B3*(1+Inputs!C7)</f>
        <v>500</v>
      </c>
      <c r="C4" s="15">
        <f>B4*Inputs!C23</f>
        <v>75</v>
      </c>
      <c r="D4" s="15">
        <f>(B4-C4)*Inputs!C24</f>
        <v>21.25</v>
      </c>
      <c r="E4" s="16">
        <f>B4*Inputs!C8</f>
        <v>750</v>
      </c>
      <c r="F4" s="15">
        <f>E4*Inputs!C9</f>
        <v>22500000</v>
      </c>
      <c r="G4" s="17">
        <f>C4*Inputs!C10</f>
        <v>1425</v>
      </c>
      <c r="H4" s="17">
        <f>D4*Inputs!C11</f>
        <v>191.25</v>
      </c>
      <c r="I4" s="17">
        <f t="shared" si="0"/>
        <v>1616.25</v>
      </c>
      <c r="J4" s="17">
        <f>I4*Inputs!C20</f>
        <v>16.162500000000001</v>
      </c>
      <c r="K4" s="17">
        <f t="shared" si="1"/>
        <v>1600.0875000000001</v>
      </c>
      <c r="L4" s="17">
        <f>(F4/1000000)*Inputs!C12</f>
        <v>67.5</v>
      </c>
      <c r="M4" s="17">
        <f>Inputs!C13</f>
        <v>250</v>
      </c>
      <c r="N4" s="17">
        <f>Inputs!C14*Inputs!C15</f>
        <v>450</v>
      </c>
      <c r="O4" s="17">
        <f>Inputs!C16</f>
        <v>750</v>
      </c>
      <c r="P4" s="17">
        <f>Inputs!C17</f>
        <v>75</v>
      </c>
      <c r="Q4" s="17">
        <f>(K4*Inputs!C18) + ((C4+D4)*Inputs!C19)</f>
        <v>76.877624999999995</v>
      </c>
      <c r="R4" s="17">
        <f t="shared" si="2"/>
        <v>1669.3776250000001</v>
      </c>
      <c r="S4" s="17">
        <f t="shared" si="3"/>
        <v>-69.290124999999989</v>
      </c>
    </row>
    <row r="5" spans="1:19" x14ac:dyDescent="0.3">
      <c r="A5" s="5">
        <v>3</v>
      </c>
      <c r="B5" s="15">
        <f>B4*(1+Inputs!C7)</f>
        <v>500</v>
      </c>
      <c r="C5" s="15">
        <f>B5*Inputs!C23</f>
        <v>75</v>
      </c>
      <c r="D5" s="15">
        <f>(B5-C5)*Inputs!C24</f>
        <v>21.25</v>
      </c>
      <c r="E5" s="16">
        <f>B5*Inputs!C8</f>
        <v>750</v>
      </c>
      <c r="F5" s="15">
        <f>E5*Inputs!C9</f>
        <v>22500000</v>
      </c>
      <c r="G5" s="17">
        <f>C5*Inputs!C10</f>
        <v>1425</v>
      </c>
      <c r="H5" s="17">
        <f>D5*Inputs!C11</f>
        <v>191.25</v>
      </c>
      <c r="I5" s="17">
        <f t="shared" si="0"/>
        <v>1616.25</v>
      </c>
      <c r="J5" s="17">
        <f>I5*Inputs!C20</f>
        <v>16.162500000000001</v>
      </c>
      <c r="K5" s="17">
        <f t="shared" si="1"/>
        <v>1600.0875000000001</v>
      </c>
      <c r="L5" s="17">
        <f>(F5/1000000)*Inputs!C12</f>
        <v>67.5</v>
      </c>
      <c r="M5" s="17">
        <f>Inputs!C13</f>
        <v>250</v>
      </c>
      <c r="N5" s="17">
        <f>Inputs!C14*Inputs!C15</f>
        <v>450</v>
      </c>
      <c r="O5" s="17">
        <f>Inputs!C16</f>
        <v>750</v>
      </c>
      <c r="P5" s="17">
        <f>Inputs!C17</f>
        <v>75</v>
      </c>
      <c r="Q5" s="17">
        <f>(K5*Inputs!C18) + ((C5+D5)*Inputs!C19)</f>
        <v>76.877624999999995</v>
      </c>
      <c r="R5" s="17">
        <f t="shared" si="2"/>
        <v>1669.3776250000001</v>
      </c>
      <c r="S5" s="17">
        <f t="shared" si="3"/>
        <v>-69.290124999999989</v>
      </c>
    </row>
    <row r="6" spans="1:19" x14ac:dyDescent="0.3">
      <c r="A6" s="5">
        <v>4</v>
      </c>
      <c r="B6" s="15">
        <f>B5*(1+Inputs!C7)</f>
        <v>500</v>
      </c>
      <c r="C6" s="15">
        <f>B6*Inputs!C23</f>
        <v>75</v>
      </c>
      <c r="D6" s="15">
        <f>(B6-C6)*Inputs!C24</f>
        <v>21.25</v>
      </c>
      <c r="E6" s="16">
        <f>B6*Inputs!C8</f>
        <v>750</v>
      </c>
      <c r="F6" s="15">
        <f>E6*Inputs!C9</f>
        <v>22500000</v>
      </c>
      <c r="G6" s="17">
        <f>C6*Inputs!C10</f>
        <v>1425</v>
      </c>
      <c r="H6" s="17">
        <f>D6*Inputs!C11</f>
        <v>191.25</v>
      </c>
      <c r="I6" s="17">
        <f t="shared" si="0"/>
        <v>1616.25</v>
      </c>
      <c r="J6" s="17">
        <f>I6*Inputs!C20</f>
        <v>16.162500000000001</v>
      </c>
      <c r="K6" s="17">
        <f t="shared" si="1"/>
        <v>1600.0875000000001</v>
      </c>
      <c r="L6" s="17">
        <f>(F6/1000000)*Inputs!C12</f>
        <v>67.5</v>
      </c>
      <c r="M6" s="17">
        <f>Inputs!C13</f>
        <v>250</v>
      </c>
      <c r="N6" s="17">
        <f>Inputs!C14*Inputs!C15</f>
        <v>450</v>
      </c>
      <c r="O6" s="17">
        <f>Inputs!C16</f>
        <v>750</v>
      </c>
      <c r="P6" s="17">
        <f>Inputs!C17</f>
        <v>75</v>
      </c>
      <c r="Q6" s="17">
        <f>(K6*Inputs!C18) + ((C6+D6)*Inputs!C19)</f>
        <v>76.877624999999995</v>
      </c>
      <c r="R6" s="17">
        <f t="shared" si="2"/>
        <v>1669.3776250000001</v>
      </c>
      <c r="S6" s="17">
        <f t="shared" si="3"/>
        <v>-69.290124999999989</v>
      </c>
    </row>
    <row r="7" spans="1:19" x14ac:dyDescent="0.3">
      <c r="A7" s="5">
        <v>5</v>
      </c>
      <c r="B7" s="15">
        <f>B6*(1+Inputs!C7)</f>
        <v>500</v>
      </c>
      <c r="C7" s="15">
        <f>B7*Inputs!C23</f>
        <v>75</v>
      </c>
      <c r="D7" s="15">
        <f>(B7-C7)*Inputs!C24</f>
        <v>21.25</v>
      </c>
      <c r="E7" s="16">
        <f>B7*Inputs!C8</f>
        <v>750</v>
      </c>
      <c r="F7" s="15">
        <f>E7*Inputs!C9</f>
        <v>22500000</v>
      </c>
      <c r="G7" s="17">
        <f>C7*Inputs!C10</f>
        <v>1425</v>
      </c>
      <c r="H7" s="17">
        <f>D7*Inputs!C11</f>
        <v>191.25</v>
      </c>
      <c r="I7" s="17">
        <f t="shared" si="0"/>
        <v>1616.25</v>
      </c>
      <c r="J7" s="17">
        <f>I7*Inputs!C20</f>
        <v>16.162500000000001</v>
      </c>
      <c r="K7" s="17">
        <f t="shared" si="1"/>
        <v>1600.0875000000001</v>
      </c>
      <c r="L7" s="17">
        <f>(F7/1000000)*Inputs!C12</f>
        <v>67.5</v>
      </c>
      <c r="M7" s="17">
        <f>Inputs!C13</f>
        <v>250</v>
      </c>
      <c r="N7" s="17">
        <f>Inputs!C14*Inputs!C15</f>
        <v>450</v>
      </c>
      <c r="O7" s="17">
        <f>Inputs!C16</f>
        <v>750</v>
      </c>
      <c r="P7" s="17">
        <f>Inputs!C17</f>
        <v>75</v>
      </c>
      <c r="Q7" s="17">
        <f>(K7*Inputs!C18) + ((C7+D7)*Inputs!C19)</f>
        <v>76.877624999999995</v>
      </c>
      <c r="R7" s="17">
        <f t="shared" si="2"/>
        <v>1669.3776250000001</v>
      </c>
      <c r="S7" s="17">
        <f t="shared" si="3"/>
        <v>-69.290124999999989</v>
      </c>
    </row>
    <row r="8" spans="1:19" x14ac:dyDescent="0.3">
      <c r="A8" s="5">
        <v>6</v>
      </c>
      <c r="B8" s="15">
        <f>B7*(1+Inputs!C7)</f>
        <v>500</v>
      </c>
      <c r="C8" s="15">
        <f>B8*Inputs!C23</f>
        <v>75</v>
      </c>
      <c r="D8" s="15">
        <f>(B8-C8)*Inputs!C24</f>
        <v>21.25</v>
      </c>
      <c r="E8" s="16">
        <f>B8*Inputs!C8</f>
        <v>750</v>
      </c>
      <c r="F8" s="15">
        <f>E8*Inputs!C9</f>
        <v>22500000</v>
      </c>
      <c r="G8" s="17">
        <f>C8*Inputs!C10</f>
        <v>1425</v>
      </c>
      <c r="H8" s="17">
        <f>D8*Inputs!C11</f>
        <v>191.25</v>
      </c>
      <c r="I8" s="17">
        <f t="shared" si="0"/>
        <v>1616.25</v>
      </c>
      <c r="J8" s="17">
        <f>I8*Inputs!C20</f>
        <v>16.162500000000001</v>
      </c>
      <c r="K8" s="17">
        <f t="shared" si="1"/>
        <v>1600.0875000000001</v>
      </c>
      <c r="L8" s="17">
        <f>(F8/1000000)*Inputs!C12</f>
        <v>67.5</v>
      </c>
      <c r="M8" s="17">
        <f>Inputs!C13</f>
        <v>250</v>
      </c>
      <c r="N8" s="17">
        <f>Inputs!C14*Inputs!C15</f>
        <v>450</v>
      </c>
      <c r="O8" s="17">
        <f>Inputs!C16</f>
        <v>750</v>
      </c>
      <c r="P8" s="17">
        <f>Inputs!C17</f>
        <v>75</v>
      </c>
      <c r="Q8" s="17">
        <f>(K8*Inputs!C18) + ((C8+D8)*Inputs!C19)</f>
        <v>76.877624999999995</v>
      </c>
      <c r="R8" s="17">
        <f t="shared" si="2"/>
        <v>1669.3776250000001</v>
      </c>
      <c r="S8" s="17">
        <f t="shared" si="3"/>
        <v>-69.290124999999989</v>
      </c>
    </row>
    <row r="9" spans="1:19" x14ac:dyDescent="0.3">
      <c r="A9" s="5">
        <v>7</v>
      </c>
      <c r="B9" s="15">
        <f>B8*(1+Inputs!C7)</f>
        <v>500</v>
      </c>
      <c r="C9" s="15">
        <f>B9*Inputs!C23</f>
        <v>75</v>
      </c>
      <c r="D9" s="15">
        <f>(B9-C9)*Inputs!C24</f>
        <v>21.25</v>
      </c>
      <c r="E9" s="16">
        <f>B9*Inputs!C8</f>
        <v>750</v>
      </c>
      <c r="F9" s="15">
        <f>E9*Inputs!C9</f>
        <v>22500000</v>
      </c>
      <c r="G9" s="17">
        <f>C9*Inputs!C10</f>
        <v>1425</v>
      </c>
      <c r="H9" s="17">
        <f>D9*Inputs!C11</f>
        <v>191.25</v>
      </c>
      <c r="I9" s="17">
        <f t="shared" si="0"/>
        <v>1616.25</v>
      </c>
      <c r="J9" s="17">
        <f>I9*Inputs!C20</f>
        <v>16.162500000000001</v>
      </c>
      <c r="K9" s="17">
        <f t="shared" si="1"/>
        <v>1600.0875000000001</v>
      </c>
      <c r="L9" s="17">
        <f>(F9/1000000)*Inputs!C12</f>
        <v>67.5</v>
      </c>
      <c r="M9" s="17">
        <f>Inputs!C13</f>
        <v>250</v>
      </c>
      <c r="N9" s="17">
        <f>Inputs!C14*Inputs!C15</f>
        <v>450</v>
      </c>
      <c r="O9" s="17">
        <f>Inputs!C16</f>
        <v>750</v>
      </c>
      <c r="P9" s="17">
        <f>Inputs!C17</f>
        <v>75</v>
      </c>
      <c r="Q9" s="17">
        <f>(K9*Inputs!C18) + ((C9+D9)*Inputs!C19)</f>
        <v>76.877624999999995</v>
      </c>
      <c r="R9" s="17">
        <f t="shared" si="2"/>
        <v>1669.3776250000001</v>
      </c>
      <c r="S9" s="17">
        <f t="shared" si="3"/>
        <v>-69.290124999999989</v>
      </c>
    </row>
    <row r="10" spans="1:19" x14ac:dyDescent="0.3">
      <c r="A10" s="5">
        <v>8</v>
      </c>
      <c r="B10" s="15">
        <f>B9*(1+Inputs!C7)</f>
        <v>500</v>
      </c>
      <c r="C10" s="15">
        <f>B10*Inputs!C23</f>
        <v>75</v>
      </c>
      <c r="D10" s="15">
        <f>(B10-C10)*Inputs!C24</f>
        <v>21.25</v>
      </c>
      <c r="E10" s="16">
        <f>B10*Inputs!C8</f>
        <v>750</v>
      </c>
      <c r="F10" s="15">
        <f>E10*Inputs!C9</f>
        <v>22500000</v>
      </c>
      <c r="G10" s="17">
        <f>C10*Inputs!C10</f>
        <v>1425</v>
      </c>
      <c r="H10" s="17">
        <f>D10*Inputs!C11</f>
        <v>191.25</v>
      </c>
      <c r="I10" s="17">
        <f t="shared" si="0"/>
        <v>1616.25</v>
      </c>
      <c r="J10" s="17">
        <f>I10*Inputs!C20</f>
        <v>16.162500000000001</v>
      </c>
      <c r="K10" s="17">
        <f t="shared" si="1"/>
        <v>1600.0875000000001</v>
      </c>
      <c r="L10" s="17">
        <f>(F10/1000000)*Inputs!C12</f>
        <v>67.5</v>
      </c>
      <c r="M10" s="17">
        <f>Inputs!C13</f>
        <v>250</v>
      </c>
      <c r="N10" s="17">
        <f>Inputs!C14*Inputs!C15</f>
        <v>450</v>
      </c>
      <c r="O10" s="17">
        <f>Inputs!C16</f>
        <v>750</v>
      </c>
      <c r="P10" s="17">
        <f>Inputs!C17</f>
        <v>75</v>
      </c>
      <c r="Q10" s="17">
        <f>(K10*Inputs!C18) + ((C10+D10)*Inputs!C19)</f>
        <v>76.877624999999995</v>
      </c>
      <c r="R10" s="17">
        <f t="shared" si="2"/>
        <v>1669.3776250000001</v>
      </c>
      <c r="S10" s="17">
        <f t="shared" si="3"/>
        <v>-69.290124999999989</v>
      </c>
    </row>
    <row r="11" spans="1:19" x14ac:dyDescent="0.3">
      <c r="A11" s="5">
        <v>9</v>
      </c>
      <c r="B11" s="15">
        <f>B10*(1+Inputs!C7)</f>
        <v>500</v>
      </c>
      <c r="C11" s="15">
        <f>B11*Inputs!C23</f>
        <v>75</v>
      </c>
      <c r="D11" s="15">
        <f>(B11-C11)*Inputs!C24</f>
        <v>21.25</v>
      </c>
      <c r="E11" s="16">
        <f>B11*Inputs!C8</f>
        <v>750</v>
      </c>
      <c r="F11" s="15">
        <f>E11*Inputs!C9</f>
        <v>22500000</v>
      </c>
      <c r="G11" s="17">
        <f>C11*Inputs!C10</f>
        <v>1425</v>
      </c>
      <c r="H11" s="17">
        <f>D11*Inputs!C11</f>
        <v>191.25</v>
      </c>
      <c r="I11" s="17">
        <f t="shared" si="0"/>
        <v>1616.25</v>
      </c>
      <c r="J11" s="17">
        <f>I11*Inputs!C20</f>
        <v>16.162500000000001</v>
      </c>
      <c r="K11" s="17">
        <f t="shared" si="1"/>
        <v>1600.0875000000001</v>
      </c>
      <c r="L11" s="17">
        <f>(F11/1000000)*Inputs!C12</f>
        <v>67.5</v>
      </c>
      <c r="M11" s="17">
        <f>Inputs!C13</f>
        <v>250</v>
      </c>
      <c r="N11" s="17">
        <f>Inputs!C14*Inputs!C15</f>
        <v>450</v>
      </c>
      <c r="O11" s="17">
        <f>Inputs!C16</f>
        <v>750</v>
      </c>
      <c r="P11" s="17">
        <f>Inputs!C17</f>
        <v>75</v>
      </c>
      <c r="Q11" s="17">
        <f>(K11*Inputs!C18) + ((C11+D11)*Inputs!C19)</f>
        <v>76.877624999999995</v>
      </c>
      <c r="R11" s="17">
        <f t="shared" si="2"/>
        <v>1669.3776250000001</v>
      </c>
      <c r="S11" s="17">
        <f t="shared" si="3"/>
        <v>-69.290124999999989</v>
      </c>
    </row>
    <row r="12" spans="1:19" x14ac:dyDescent="0.3">
      <c r="A12" s="5">
        <v>10</v>
      </c>
      <c r="B12" s="15">
        <f>B11*(1+Inputs!C7)</f>
        <v>500</v>
      </c>
      <c r="C12" s="15">
        <f>B12*Inputs!C23</f>
        <v>75</v>
      </c>
      <c r="D12" s="15">
        <f>(B12-C12)*Inputs!C24</f>
        <v>21.25</v>
      </c>
      <c r="E12" s="16">
        <f>B12*Inputs!C8</f>
        <v>750</v>
      </c>
      <c r="F12" s="15">
        <f>E12*Inputs!C9</f>
        <v>22500000</v>
      </c>
      <c r="G12" s="17">
        <f>C12*Inputs!C10</f>
        <v>1425</v>
      </c>
      <c r="H12" s="17">
        <f>D12*Inputs!C11</f>
        <v>191.25</v>
      </c>
      <c r="I12" s="17">
        <f t="shared" si="0"/>
        <v>1616.25</v>
      </c>
      <c r="J12" s="17">
        <f>I12*Inputs!C20</f>
        <v>16.162500000000001</v>
      </c>
      <c r="K12" s="17">
        <f t="shared" si="1"/>
        <v>1600.0875000000001</v>
      </c>
      <c r="L12" s="17">
        <f>(F12/1000000)*Inputs!C12</f>
        <v>67.5</v>
      </c>
      <c r="M12" s="17">
        <f>Inputs!C13</f>
        <v>250</v>
      </c>
      <c r="N12" s="17">
        <f>Inputs!C14*Inputs!C15</f>
        <v>450</v>
      </c>
      <c r="O12" s="17">
        <f>Inputs!C16</f>
        <v>750</v>
      </c>
      <c r="P12" s="17">
        <f>Inputs!C17</f>
        <v>75</v>
      </c>
      <c r="Q12" s="17">
        <f>(K12*Inputs!C18) + ((C12+D12)*Inputs!C19)</f>
        <v>76.877624999999995</v>
      </c>
      <c r="R12" s="17">
        <f t="shared" si="2"/>
        <v>1669.3776250000001</v>
      </c>
      <c r="S12" s="17">
        <f t="shared" si="3"/>
        <v>-69.290124999999989</v>
      </c>
    </row>
    <row r="13" spans="1:19" x14ac:dyDescent="0.3">
      <c r="A13" s="5">
        <v>11</v>
      </c>
      <c r="B13" s="15">
        <f>B12*(1+Inputs!C7)</f>
        <v>500</v>
      </c>
      <c r="C13" s="15">
        <f>B13*Inputs!C23</f>
        <v>75</v>
      </c>
      <c r="D13" s="15">
        <f>(B13-C13)*Inputs!C24</f>
        <v>21.25</v>
      </c>
      <c r="E13" s="16">
        <f>B13*Inputs!C8</f>
        <v>750</v>
      </c>
      <c r="F13" s="15">
        <f>E13*Inputs!C9</f>
        <v>22500000</v>
      </c>
      <c r="G13" s="17">
        <f>C13*Inputs!C10</f>
        <v>1425</v>
      </c>
      <c r="H13" s="17">
        <f>D13*Inputs!C11</f>
        <v>191.25</v>
      </c>
      <c r="I13" s="17">
        <f t="shared" si="0"/>
        <v>1616.25</v>
      </c>
      <c r="J13" s="17">
        <f>I13*Inputs!C20</f>
        <v>16.162500000000001</v>
      </c>
      <c r="K13" s="17">
        <f t="shared" si="1"/>
        <v>1600.0875000000001</v>
      </c>
      <c r="L13" s="17">
        <f>(F13/1000000)*Inputs!C12</f>
        <v>67.5</v>
      </c>
      <c r="M13" s="17">
        <f>Inputs!C13</f>
        <v>250</v>
      </c>
      <c r="N13" s="17">
        <f>Inputs!C14*Inputs!C15</f>
        <v>450</v>
      </c>
      <c r="O13" s="17">
        <f>Inputs!C16</f>
        <v>750</v>
      </c>
      <c r="P13" s="17">
        <f>Inputs!C17</f>
        <v>75</v>
      </c>
      <c r="Q13" s="17">
        <f>(K13*Inputs!C18) + ((C13+D13)*Inputs!C19)</f>
        <v>76.877624999999995</v>
      </c>
      <c r="R13" s="17">
        <f t="shared" si="2"/>
        <v>1669.3776250000001</v>
      </c>
      <c r="S13" s="17">
        <f t="shared" si="3"/>
        <v>-69.290124999999989</v>
      </c>
    </row>
    <row r="14" spans="1:19" x14ac:dyDescent="0.3">
      <c r="A14" s="5">
        <v>12</v>
      </c>
      <c r="B14" s="15">
        <f>B13*(1+Inputs!C7)</f>
        <v>500</v>
      </c>
      <c r="C14" s="15">
        <f>B14*Inputs!C23</f>
        <v>75</v>
      </c>
      <c r="D14" s="15">
        <f>(B14-C14)*Inputs!C24</f>
        <v>21.25</v>
      </c>
      <c r="E14" s="16">
        <f>B14*Inputs!C8</f>
        <v>750</v>
      </c>
      <c r="F14" s="15">
        <f>E14*Inputs!C9</f>
        <v>22500000</v>
      </c>
      <c r="G14" s="17">
        <f>C14*Inputs!C10</f>
        <v>1425</v>
      </c>
      <c r="H14" s="17">
        <f>D14*Inputs!C11</f>
        <v>191.25</v>
      </c>
      <c r="I14" s="17">
        <f t="shared" si="0"/>
        <v>1616.25</v>
      </c>
      <c r="J14" s="17">
        <f>I14*Inputs!C20</f>
        <v>16.162500000000001</v>
      </c>
      <c r="K14" s="17">
        <f t="shared" si="1"/>
        <v>1600.0875000000001</v>
      </c>
      <c r="L14" s="17">
        <f>(F14/1000000)*Inputs!C12</f>
        <v>67.5</v>
      </c>
      <c r="M14" s="17">
        <f>Inputs!C13</f>
        <v>250</v>
      </c>
      <c r="N14" s="17">
        <f>Inputs!C14*Inputs!C15</f>
        <v>450</v>
      </c>
      <c r="O14" s="17">
        <f>Inputs!C16</f>
        <v>750</v>
      </c>
      <c r="P14" s="17">
        <f>Inputs!C17</f>
        <v>75</v>
      </c>
      <c r="Q14" s="17">
        <f>(K14*Inputs!C18) + ((C14+D14)*Inputs!C19)</f>
        <v>76.877624999999995</v>
      </c>
      <c r="R14" s="17">
        <f t="shared" si="2"/>
        <v>1669.3776250000001</v>
      </c>
      <c r="S14" s="17">
        <f t="shared" si="3"/>
        <v>-69.290124999999989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4" x14ac:dyDescent="0.3"/>
  <cols>
    <col min="1" max="1" width="40" customWidth="1"/>
    <col min="2" max="2" width="26" customWidth="1"/>
    <col min="3" max="3" width="52" customWidth="1"/>
  </cols>
  <sheetData>
    <row r="1" spans="1:3" ht="18" x14ac:dyDescent="0.4">
      <c r="A1" s="7" t="s">
        <v>96</v>
      </c>
    </row>
    <row r="2" spans="1:3" x14ac:dyDescent="0.3">
      <c r="A2" s="4" t="s">
        <v>25</v>
      </c>
      <c r="B2" s="4" t="s">
        <v>26</v>
      </c>
      <c r="C2" s="4" t="s">
        <v>15</v>
      </c>
    </row>
    <row r="3" spans="1:3" x14ac:dyDescent="0.3">
      <c r="A3" s="5" t="s">
        <v>78</v>
      </c>
      <c r="B3" s="15">
        <f>'Monthly Forecast'!B3</f>
        <v>500</v>
      </c>
      <c r="C3" s="5" t="s">
        <v>97</v>
      </c>
    </row>
    <row r="4" spans="1:3" x14ac:dyDescent="0.3">
      <c r="A4" s="5" t="s">
        <v>79</v>
      </c>
      <c r="B4" s="15">
        <f>'Monthly Forecast'!C3</f>
        <v>75</v>
      </c>
      <c r="C4" s="5" t="s">
        <v>98</v>
      </c>
    </row>
    <row r="5" spans="1:3" x14ac:dyDescent="0.3">
      <c r="A5" s="5" t="s">
        <v>99</v>
      </c>
      <c r="B5" s="15">
        <f>'Monthly Forecast'!D3</f>
        <v>21.25</v>
      </c>
      <c r="C5" s="5" t="s">
        <v>100</v>
      </c>
    </row>
    <row r="6" spans="1:3" x14ac:dyDescent="0.3">
      <c r="A6" s="5" t="s">
        <v>87</v>
      </c>
      <c r="B6" s="17">
        <f>'Monthly Forecast'!K3</f>
        <v>1600.0875000000001</v>
      </c>
      <c r="C6" s="5" t="s">
        <v>101</v>
      </c>
    </row>
    <row r="7" spans="1:3" x14ac:dyDescent="0.3">
      <c r="A7" s="5" t="s">
        <v>94</v>
      </c>
      <c r="B7" s="17">
        <f>'Monthly Forecast'!R3</f>
        <v>1669.3776250000001</v>
      </c>
      <c r="C7" s="5" t="s">
        <v>102</v>
      </c>
    </row>
    <row r="8" spans="1:3" x14ac:dyDescent="0.3">
      <c r="A8" s="5" t="s">
        <v>95</v>
      </c>
      <c r="B8" s="17">
        <f>'Monthly Forecast'!S3</f>
        <v>-69.290124999999989</v>
      </c>
      <c r="C8" s="5" t="s">
        <v>103</v>
      </c>
    </row>
    <row r="9" spans="1:3" x14ac:dyDescent="0.3">
      <c r="A9" s="5" t="s">
        <v>104</v>
      </c>
      <c r="B9" s="17">
        <f>'Monthly Forecast'!K3/'Monthly Forecast'!B3</f>
        <v>3.2001750000000002</v>
      </c>
      <c r="C9" s="5" t="s">
        <v>105</v>
      </c>
    </row>
    <row r="10" spans="1:3" x14ac:dyDescent="0.3">
      <c r="A10" s="5" t="s">
        <v>106</v>
      </c>
      <c r="B10" s="17">
        <f>'Monthly Forecast'!L3/'Monthly Forecast'!B3</f>
        <v>0.13500000000000001</v>
      </c>
      <c r="C10" s="5" t="s">
        <v>107</v>
      </c>
    </row>
    <row r="11" spans="1:3" x14ac:dyDescent="0.3">
      <c r="A11" s="5" t="s">
        <v>108</v>
      </c>
      <c r="B11" s="18">
        <f>(('Monthly Forecast'!K3-'Monthly Forecast'!L3-'Monthly Forecast'!Q3)/'Monthly Forecast'!K3)</f>
        <v>0.90976891888724831</v>
      </c>
      <c r="C11" s="5" t="s">
        <v>109</v>
      </c>
    </row>
    <row r="12" spans="1:3" x14ac:dyDescent="0.3">
      <c r="A12" s="5" t="s">
        <v>110</v>
      </c>
      <c r="B12" s="17">
        <f>(Inputs!C10*(1-Inputs!C18) - ('Monthly Forecast'!L3/'Monthly Forecast'!C3)) / Inputs!C25</f>
        <v>146.08333333333334</v>
      </c>
      <c r="C12" s="5" t="s">
        <v>111</v>
      </c>
    </row>
    <row r="13" spans="1:3" x14ac:dyDescent="0.3">
      <c r="A13" s="5" t="s">
        <v>112</v>
      </c>
      <c r="B13" s="15">
        <f>'Monthly Forecast'!C3+'Monthly Forecast'!D3</f>
        <v>96.25</v>
      </c>
      <c r="C13" s="5" t="s">
        <v>113</v>
      </c>
    </row>
    <row r="14" spans="1:3" x14ac:dyDescent="0.3">
      <c r="A14" s="5" t="s">
        <v>114</v>
      </c>
      <c r="B14" s="17">
        <f>IF(('Monthly Forecast'!C3+'Monthly Forecast'!D3)=0,0, 'Monthly Forecast'!O3/('Monthly Forecast'!C3+'Monthly Forecast'!D3))</f>
        <v>7.7922077922077921</v>
      </c>
      <c r="C14" s="5" t="s">
        <v>115</v>
      </c>
    </row>
    <row r="15" spans="1:3" x14ac:dyDescent="0.3">
      <c r="A15" s="5" t="s">
        <v>116</v>
      </c>
      <c r="B15" s="17">
        <f>IF(Inputs!C25=0,0, (IF(('Monthly Forecast'!C3+'Monthly Forecast'!D3)=0,0,'Monthly Forecast'!O3/('Monthly Forecast'!C3+'Monthly Forecast'!D3))) / ((Inputs!C10*(1-Inputs!C18) - ('Monthly Forecast'!L3/'Monthly Forecast'!C3))) )</f>
        <v>0.44450700468954885</v>
      </c>
      <c r="C15" s="5" t="s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defaultRowHeight="14" x14ac:dyDescent="0.3"/>
  <cols>
    <col min="1" max="7" width="14" customWidth="1"/>
  </cols>
  <sheetData>
    <row r="1" spans="1:7" ht="18" x14ac:dyDescent="0.4">
      <c r="A1" s="7" t="s">
        <v>118</v>
      </c>
    </row>
    <row r="3" spans="1:7" x14ac:dyDescent="0.3">
      <c r="A3" s="19" t="s">
        <v>119</v>
      </c>
      <c r="B3" s="20">
        <v>0.05</v>
      </c>
      <c r="C3" s="20">
        <v>0.1</v>
      </c>
      <c r="D3" s="20">
        <v>0.15</v>
      </c>
      <c r="E3" s="20">
        <v>0.2</v>
      </c>
      <c r="F3" s="20">
        <v>0.25</v>
      </c>
      <c r="G3" s="20">
        <v>0.3</v>
      </c>
    </row>
    <row r="4" spans="1:7" x14ac:dyDescent="0.3">
      <c r="A4" s="21">
        <v>0</v>
      </c>
      <c r="B4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-195.71837500000004</v>
      </c>
      <c r="C4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242.49574999999993</v>
      </c>
      <c r="D4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680.70987500000012</v>
      </c>
      <c r="E4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1118.924</v>
      </c>
      <c r="F4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1557.1381249999999</v>
      </c>
      <c r="G4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1995.3522500000001</v>
      </c>
    </row>
    <row r="5" spans="1:7" x14ac:dyDescent="0.3">
      <c r="A5" s="21">
        <v>250</v>
      </c>
      <c r="B5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+250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-445.71837500000015</v>
      </c>
      <c r="C5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+250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-7.5042500000001837</v>
      </c>
      <c r="D5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+250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430.70987500000001</v>
      </c>
      <c r="E5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+250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868.92399999999975</v>
      </c>
      <c r="F5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+250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1307.1381249999999</v>
      </c>
      <c r="G5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+250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1745.3522500000001</v>
      </c>
    </row>
    <row r="6" spans="1:7" x14ac:dyDescent="0.3">
      <c r="A6" s="21">
        <v>500</v>
      </c>
      <c r="B6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+500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-695.71837500000015</v>
      </c>
      <c r="C6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+500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-257.50425000000018</v>
      </c>
      <c r="D6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+500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180.70987500000001</v>
      </c>
      <c r="E6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+500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618.92399999999975</v>
      </c>
      <c r="F6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+500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1057.1381249999999</v>
      </c>
      <c r="G6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+500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1495.3522500000001</v>
      </c>
    </row>
    <row r="7" spans="1:7" x14ac:dyDescent="0.3">
      <c r="A7" s="21">
        <v>750</v>
      </c>
      <c r="B7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+750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-945.71837500000015</v>
      </c>
      <c r="C7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+750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-507.50425000000018</v>
      </c>
      <c r="D7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+750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-69.290124999999989</v>
      </c>
      <c r="E7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+750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368.92399999999975</v>
      </c>
      <c r="F7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+750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807.13812499999995</v>
      </c>
      <c r="G7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+750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1245.3522500000001</v>
      </c>
    </row>
    <row r="8" spans="1:7" x14ac:dyDescent="0.3">
      <c r="A8" s="21">
        <v>1000</v>
      </c>
      <c r="B8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+1000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-1195.7183750000002</v>
      </c>
      <c r="C8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+1000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-757.50425000000018</v>
      </c>
      <c r="D8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+1000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-319.29012499999999</v>
      </c>
      <c r="E8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+1000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118.92399999999975</v>
      </c>
      <c r="F8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+1000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557.13812499999995</v>
      </c>
      <c r="G8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+1000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995.35225000000014</v>
      </c>
    </row>
    <row r="9" spans="1:7" x14ac:dyDescent="0.3">
      <c r="A9" s="21">
        <v>1250</v>
      </c>
      <c r="B9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+1250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-1445.7183750000002</v>
      </c>
      <c r="C9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+1250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-1007.50425</v>
      </c>
      <c r="D9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+1250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-569.29012499999999</v>
      </c>
      <c r="E9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+1250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-131.07600000000002</v>
      </c>
      <c r="F9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+1250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307.13812499999995</v>
      </c>
      <c r="G9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+1250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745.35225000000037</v>
      </c>
    </row>
    <row r="10" spans="1:7" x14ac:dyDescent="0.3">
      <c r="A10" s="21">
        <v>1500</v>
      </c>
      <c r="B10" s="22">
        <f>(((((Inputs!C6*B3)*Inputs!C10)+(((Inputs!C6-(Inputs!C6*B3))*Inputs!C24)*Inputs!C11))-((((Inputs!C6*B3)*Inputs!C10)+(((Inputs!C6-(Inputs!C6*B3))*Inputs!C24)*Inputs!C11))*Inputs!C20))-(((((Inputs!C6*Inputs!C8)*Inputs!C9)/1000000)*Inputs!C12)+Inputs!C13+(Inputs!C14*Inputs!C15)+1500+Inputs!C17+((((((Inputs!C6*B3)*Inputs!C10)+(((Inputs!C6-(Inputs!C6*B3))*Inputs!C24)*Inputs!C11))-((((Inputs!C6*B3)*Inputs!C10)+(((Inputs!C6-(Inputs!C6*B3))*Inputs!C24)*Inputs!C11))*Inputs!C20))*Inputs!C18) + (((Inputs!C6*B3)+((Inputs!C6-(Inputs!C6*B3))*Inputs!C24))*Inputs!C19))))</f>
        <v>-1695.7183750000002</v>
      </c>
      <c r="C10" s="22">
        <f>(((((Inputs!C6*C3)*Inputs!C10)+(((Inputs!C6-(Inputs!C6*C3))*Inputs!C24)*Inputs!C11))-((((Inputs!C6*C3)*Inputs!C10)+(((Inputs!C6-(Inputs!C6*C3))*Inputs!C24)*Inputs!C11))*Inputs!C20))-(((((Inputs!C6*Inputs!C8)*Inputs!C9)/1000000)*Inputs!C12)+Inputs!C13+(Inputs!C14*Inputs!C15)+1500+Inputs!C17+((((((Inputs!C6*C3)*Inputs!C10)+(((Inputs!C6-(Inputs!C6*C3))*Inputs!C24)*Inputs!C11))-((((Inputs!C6*C3)*Inputs!C10)+(((Inputs!C6-(Inputs!C6*C3))*Inputs!C24)*Inputs!C11))*Inputs!C20))*Inputs!C18) + (((Inputs!C6*C3)+((Inputs!C6-(Inputs!C6*C3))*Inputs!C24))*Inputs!C19))))</f>
        <v>-1257.50425</v>
      </c>
      <c r="D10" s="22">
        <f>(((((Inputs!C6*D3)*Inputs!C10)+(((Inputs!C6-(Inputs!C6*D3))*Inputs!C24)*Inputs!C11))-((((Inputs!C6*D3)*Inputs!C10)+(((Inputs!C6-(Inputs!C6*D3))*Inputs!C24)*Inputs!C11))*Inputs!C20))-(((((Inputs!C6*Inputs!C8)*Inputs!C9)/1000000)*Inputs!C12)+Inputs!C13+(Inputs!C14*Inputs!C15)+1500+Inputs!C17+((((((Inputs!C6*D3)*Inputs!C10)+(((Inputs!C6-(Inputs!C6*D3))*Inputs!C24)*Inputs!C11))-((((Inputs!C6*D3)*Inputs!C10)+(((Inputs!C6-(Inputs!C6*D3))*Inputs!C24)*Inputs!C11))*Inputs!C20))*Inputs!C18) + (((Inputs!C6*D3)+((Inputs!C6-(Inputs!C6*D3))*Inputs!C24))*Inputs!C19))))</f>
        <v>-819.29012499999999</v>
      </c>
      <c r="E10" s="22">
        <f>(((((Inputs!C6*E3)*Inputs!C10)+(((Inputs!C6-(Inputs!C6*E3))*Inputs!C24)*Inputs!C11))-((((Inputs!C6*E3)*Inputs!C10)+(((Inputs!C6-(Inputs!C6*E3))*Inputs!C24)*Inputs!C11))*Inputs!C20))-(((((Inputs!C6*Inputs!C8)*Inputs!C9)/1000000)*Inputs!C12)+Inputs!C13+(Inputs!C14*Inputs!C15)+1500+Inputs!C17+((((((Inputs!C6*E3)*Inputs!C10)+(((Inputs!C6-(Inputs!C6*E3))*Inputs!C24)*Inputs!C11))-((((Inputs!C6*E3)*Inputs!C10)+(((Inputs!C6-(Inputs!C6*E3))*Inputs!C24)*Inputs!C11))*Inputs!C20))*Inputs!C18) + (((Inputs!C6*E3)+((Inputs!C6-(Inputs!C6*E3))*Inputs!C24))*Inputs!C19))))</f>
        <v>-381.07600000000002</v>
      </c>
      <c r="F10" s="22">
        <f>(((((Inputs!C6*F3)*Inputs!C10)+(((Inputs!C6-(Inputs!C6*F3))*Inputs!C24)*Inputs!C11))-((((Inputs!C6*F3)*Inputs!C10)+(((Inputs!C6-(Inputs!C6*F3))*Inputs!C24)*Inputs!C11))*Inputs!C20))-(((((Inputs!C6*Inputs!C8)*Inputs!C9)/1000000)*Inputs!C12)+Inputs!C13+(Inputs!C14*Inputs!C15)+1500+Inputs!C17+((((((Inputs!C6*F3)*Inputs!C10)+(((Inputs!C6-(Inputs!C6*F3))*Inputs!C24)*Inputs!C11))-((((Inputs!C6*F3)*Inputs!C10)+(((Inputs!C6-(Inputs!C6*F3))*Inputs!C24)*Inputs!C11))*Inputs!C20))*Inputs!C18) + (((Inputs!C6*F3)+((Inputs!C6-(Inputs!C6*F3))*Inputs!C24))*Inputs!C19))))</f>
        <v>57.138124999999945</v>
      </c>
      <c r="G10" s="22">
        <f>(((((Inputs!C6*G3)*Inputs!C10)+(((Inputs!C6-(Inputs!C6*G3))*Inputs!C24)*Inputs!C11))-((((Inputs!C6*G3)*Inputs!C10)+(((Inputs!C6-(Inputs!C6*G3))*Inputs!C24)*Inputs!C11))*Inputs!C20))-(((((Inputs!C6*Inputs!C8)*Inputs!C9)/1000000)*Inputs!C12)+Inputs!C13+(Inputs!C14*Inputs!C15)+1500+Inputs!C17+((((((Inputs!C6*G3)*Inputs!C10)+(((Inputs!C6-(Inputs!C6*G3))*Inputs!C24)*Inputs!C11))-((((Inputs!C6*G3)*Inputs!C10)+(((Inputs!C6-(Inputs!C6*G3))*Inputs!C24)*Inputs!C11))*Inputs!C20))*Inputs!C18) + (((Inputs!C6*G3)+((Inputs!C6-(Inputs!C6*G3))*Inputs!C24))*Inputs!C19))))</f>
        <v>495.35225000000037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tabSelected="1" workbookViewId="0">
      <selection activeCell="D10" sqref="D10"/>
    </sheetView>
  </sheetViews>
  <sheetFormatPr defaultRowHeight="14" x14ac:dyDescent="0.3"/>
  <cols>
    <col min="1" max="1" width="10" customWidth="1"/>
    <col min="2" max="2" width="44" customWidth="1"/>
    <col min="3" max="3" width="60" customWidth="1"/>
    <col min="4" max="4" width="52" customWidth="1"/>
  </cols>
  <sheetData>
    <row r="1" spans="1:4" ht="18" x14ac:dyDescent="0.4">
      <c r="A1" s="7" t="s">
        <v>120</v>
      </c>
    </row>
    <row r="2" spans="1:4" x14ac:dyDescent="0.3">
      <c r="A2" s="4" t="s">
        <v>121</v>
      </c>
      <c r="B2" s="4" t="s">
        <v>122</v>
      </c>
      <c r="C2" s="4" t="s">
        <v>123</v>
      </c>
      <c r="D2" s="4" t="s">
        <v>124</v>
      </c>
    </row>
    <row r="3" spans="1:4" ht="42" x14ac:dyDescent="0.3">
      <c r="A3" s="5">
        <v>1</v>
      </c>
      <c r="B3" s="5" t="s">
        <v>125</v>
      </c>
      <c r="C3" s="5" t="s">
        <v>126</v>
      </c>
      <c r="D3" s="5" t="s">
        <v>127</v>
      </c>
    </row>
    <row r="4" spans="1:4" ht="28" x14ac:dyDescent="0.3">
      <c r="A4" s="5">
        <v>2</v>
      </c>
      <c r="B4" s="5" t="s">
        <v>128</v>
      </c>
      <c r="C4" s="5" t="s">
        <v>129</v>
      </c>
      <c r="D4" s="5" t="s">
        <v>130</v>
      </c>
    </row>
    <row r="5" spans="1:4" ht="28" x14ac:dyDescent="0.3">
      <c r="A5" s="5">
        <v>3</v>
      </c>
      <c r="B5" s="5" t="s">
        <v>131</v>
      </c>
      <c r="C5" s="5" t="s">
        <v>132</v>
      </c>
      <c r="D5" s="5" t="s">
        <v>133</v>
      </c>
    </row>
    <row r="6" spans="1:4" ht="28" x14ac:dyDescent="0.3">
      <c r="A6" s="5">
        <v>4</v>
      </c>
      <c r="B6" s="5" t="s">
        <v>134</v>
      </c>
      <c r="C6" s="5" t="s">
        <v>135</v>
      </c>
      <c r="D6" s="5" t="s">
        <v>136</v>
      </c>
    </row>
    <row r="7" spans="1:4" ht="42" x14ac:dyDescent="0.3">
      <c r="A7" s="5">
        <v>5</v>
      </c>
      <c r="B7" s="5" t="s">
        <v>137</v>
      </c>
      <c r="C7" s="5" t="s">
        <v>138</v>
      </c>
      <c r="D7" s="5" t="s">
        <v>139</v>
      </c>
    </row>
    <row r="8" spans="1:4" ht="28" x14ac:dyDescent="0.3">
      <c r="A8" s="5">
        <v>6</v>
      </c>
      <c r="B8" s="5" t="s">
        <v>140</v>
      </c>
      <c r="C8" s="5" t="s">
        <v>141</v>
      </c>
      <c r="D8" s="5" t="s">
        <v>142</v>
      </c>
    </row>
    <row r="10" spans="1:4" ht="42" x14ac:dyDescent="0.3">
      <c r="A10" s="23" t="s">
        <v>143</v>
      </c>
    </row>
    <row r="11" spans="1:4" ht="70" x14ac:dyDescent="0.3">
      <c r="A11" s="24" t="s">
        <v>144</v>
      </c>
    </row>
    <row r="12" spans="1:4" ht="70" x14ac:dyDescent="0.3">
      <c r="A12" s="24" t="s">
        <v>145</v>
      </c>
    </row>
    <row r="13" spans="1:4" ht="126" x14ac:dyDescent="0.3">
      <c r="A13" s="24" t="s">
        <v>146</v>
      </c>
    </row>
    <row r="14" spans="1:4" ht="28" x14ac:dyDescent="0.3">
      <c r="A14" s="24" t="s">
        <v>147</v>
      </c>
    </row>
    <row r="15" spans="1:4" ht="70" x14ac:dyDescent="0.3">
      <c r="A15" s="24" t="s">
        <v>148</v>
      </c>
    </row>
    <row r="16" spans="1:4" ht="70" x14ac:dyDescent="0.3">
      <c r="A16" s="24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Instructions</vt:lpstr>
      <vt:lpstr>Scenarios</vt:lpstr>
      <vt:lpstr>Inputs</vt:lpstr>
      <vt:lpstr>Monthly Forecast</vt:lpstr>
      <vt:lpstr>Unit Economics</vt:lpstr>
      <vt:lpstr>Sensitivity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נדב יגאל</cp:lastModifiedBy>
  <dcterms:created xsi:type="dcterms:W3CDTF">2026-01-18T14:13:43Z</dcterms:created>
  <dcterms:modified xsi:type="dcterms:W3CDTF">2026-01-18T14:25:17Z</dcterms:modified>
</cp:coreProperties>
</file>